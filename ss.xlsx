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8_{01072A9D-5F27-42CB-A2C7-ABADD642DD77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nov-24" sheetId="1" r:id="rId1"/>
    <sheet name="Dec-24" sheetId="2" r:id="rId2"/>
    <sheet name="jan" sheetId="3" r:id="rId3"/>
    <sheet name="Feb" sheetId="4" r:id="rId4"/>
    <sheet name="Mar" sheetId="5" r:id="rId5"/>
    <sheet name="Apr" sheetId="6" r:id="rId6"/>
    <sheet name="may" sheetId="7" r:id="rId7"/>
    <sheet name="June" sheetId="8" r:id="rId8"/>
    <sheet name="July" sheetId="9" r:id="rId9"/>
    <sheet name="AUg" sheetId="10" r:id="rId10"/>
    <sheet name="Sept" sheetId="11" r:id="rId11"/>
    <sheet name="Oct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2" l="1"/>
  <c r="I20" i="11"/>
  <c r="I20" i="10"/>
  <c r="I19" i="9"/>
  <c r="H22" i="8"/>
  <c r="I20" i="7"/>
  <c r="G20" i="6"/>
  <c r="G17" i="5"/>
  <c r="H18" i="4"/>
  <c r="H22" i="3"/>
  <c r="G22" i="2"/>
  <c r="G37" i="1"/>
  <c r="G19" i="3"/>
</calcChain>
</file>

<file path=xl/sharedStrings.xml><?xml version="1.0" encoding="utf-8"?>
<sst xmlns="http://schemas.openxmlformats.org/spreadsheetml/2006/main" count="306" uniqueCount="172">
  <si>
    <t>Chervirala Sudhakar</t>
  </si>
  <si>
    <t>Prop: Sri Sai Santhoshi Traders - Thirumalagiri</t>
  </si>
  <si>
    <t>sundry debtors</t>
  </si>
  <si>
    <t>1)</t>
  </si>
  <si>
    <t>2)</t>
  </si>
  <si>
    <t>3)</t>
  </si>
  <si>
    <t>4)</t>
  </si>
  <si>
    <t>5)</t>
  </si>
  <si>
    <t>6)</t>
  </si>
  <si>
    <t>7)</t>
  </si>
  <si>
    <t>8)</t>
  </si>
  <si>
    <t>9)</t>
  </si>
  <si>
    <t>10)</t>
  </si>
  <si>
    <t>11)</t>
  </si>
  <si>
    <t>12)</t>
  </si>
  <si>
    <t>13)</t>
  </si>
  <si>
    <t>14)</t>
  </si>
  <si>
    <t>15)</t>
  </si>
  <si>
    <t>16)</t>
  </si>
  <si>
    <t>17)</t>
  </si>
  <si>
    <t>18)</t>
  </si>
  <si>
    <t>19)</t>
  </si>
  <si>
    <t>20)</t>
  </si>
  <si>
    <t>21)</t>
  </si>
  <si>
    <t>22)</t>
  </si>
  <si>
    <t>23)</t>
  </si>
  <si>
    <t>24)</t>
  </si>
  <si>
    <t>25)</t>
  </si>
  <si>
    <t>26)</t>
  </si>
  <si>
    <t>27)</t>
  </si>
  <si>
    <t>28)</t>
  </si>
  <si>
    <t>29)</t>
  </si>
  <si>
    <t>30)</t>
  </si>
  <si>
    <t>SUNDRY DEBTORS</t>
  </si>
  <si>
    <t>)</t>
  </si>
  <si>
    <t>Aravind Pulses</t>
  </si>
  <si>
    <t>Baba Foods</t>
  </si>
  <si>
    <t>Gokul Pulses</t>
  </si>
  <si>
    <t>1) Ayush Industries</t>
  </si>
  <si>
    <t>ABC &amp;SONS</t>
  </si>
  <si>
    <t>Adilaxmi Industries</t>
  </si>
  <si>
    <t>Akshaya Traders</t>
  </si>
  <si>
    <t>Aman Dall Mill</t>
  </si>
  <si>
    <t>Amma Traders</t>
  </si>
  <si>
    <t>Anand Traders</t>
  </si>
  <si>
    <t>Aravind agro industries</t>
  </si>
  <si>
    <t>Aravind pulses mill</t>
  </si>
  <si>
    <t>Ashish Enterprises</t>
  </si>
  <si>
    <t>Ayush industries</t>
  </si>
  <si>
    <t>Bhavani Moders Rice Mill</t>
  </si>
  <si>
    <t>Bommidi Narayana &amp;co</t>
  </si>
  <si>
    <t>Chandrika Rice Mill</t>
  </si>
  <si>
    <t>Damera Krishna murthy</t>
  </si>
  <si>
    <t>Amount</t>
  </si>
  <si>
    <t>Damodara das Bajaj</t>
  </si>
  <si>
    <t>Dharani Rice Industries</t>
  </si>
  <si>
    <t>Gattani Traders</t>
  </si>
  <si>
    <t>Heera Food Products</t>
  </si>
  <si>
    <t>Hemanth Rice Industries</t>
  </si>
  <si>
    <t>Jalram Food Products</t>
  </si>
  <si>
    <t>Jaya Durga Enterprises</t>
  </si>
  <si>
    <t>Jupiter Agro</t>
  </si>
  <si>
    <t>Kalpana agri Industries</t>
  </si>
  <si>
    <t>Karthikeya dall Producers</t>
  </si>
  <si>
    <t>Karumuri Pulses</t>
  </si>
  <si>
    <t>Kcrm Foods</t>
  </si>
  <si>
    <t>Keshav Trading sathara</t>
  </si>
  <si>
    <t>Krishna teja food products</t>
  </si>
  <si>
    <t>2)Baba Foods</t>
  </si>
  <si>
    <t>3)  Ghajanana Traders</t>
  </si>
  <si>
    <t>4) Gvr Nutries</t>
  </si>
  <si>
    <t>5) Hanuman Modern Rice Mill</t>
  </si>
  <si>
    <t>6)  Hari Krishna Traders</t>
  </si>
  <si>
    <t>7) Heera Food Products</t>
  </si>
  <si>
    <t>8) Jalaram Food Products</t>
  </si>
  <si>
    <t>10) Kanaka Mahalaxmi Rice industries</t>
  </si>
  <si>
    <t>9) Karan Industries</t>
  </si>
  <si>
    <t>11) Karthukeya Dall Producers</t>
  </si>
  <si>
    <t>12) Kanumuri Pulses</t>
  </si>
  <si>
    <t>13) Kcrm Foods</t>
  </si>
  <si>
    <t>14) Kedia Agro Industeis</t>
  </si>
  <si>
    <t xml:space="preserve"> Dec-2024</t>
  </si>
  <si>
    <t>Amt</t>
  </si>
  <si>
    <t>15)Keshav Trading Satara</t>
  </si>
  <si>
    <t>Arvind Agro industries</t>
  </si>
  <si>
    <t>Arvind Pulses</t>
  </si>
  <si>
    <t>Ayush Industries</t>
  </si>
  <si>
    <t>Ayyappa Dall Mill</t>
  </si>
  <si>
    <t>Bhavani Modern Rice Mill</t>
  </si>
  <si>
    <t>Dharani Traders</t>
  </si>
  <si>
    <t>Ghajanana Traders</t>
  </si>
  <si>
    <t>Gayathri Rice Industries</t>
  </si>
  <si>
    <t>G.k Agro Industries</t>
  </si>
  <si>
    <t>1) Adhilaxmi industries</t>
  </si>
  <si>
    <t>2)AKSHAYA Traders</t>
  </si>
  <si>
    <t>3) Aman Dall Mill</t>
  </si>
  <si>
    <t>4) Arvind Agro Industries</t>
  </si>
  <si>
    <t>5) Ayush Industries</t>
  </si>
  <si>
    <t>6) Baba Foods</t>
  </si>
  <si>
    <t>7)  Bhavani Modern Rice Mill</t>
  </si>
  <si>
    <t>8) Chanfrik Rice Mill</t>
  </si>
  <si>
    <t>9) Damodara das Bajaj</t>
  </si>
  <si>
    <t>10) Gayatri Kiranam</t>
  </si>
  <si>
    <t>11) G.k.Agro Industries</t>
  </si>
  <si>
    <t>12) Gokul Pulses</t>
  </si>
  <si>
    <t>2)Adilaxmi Industries</t>
  </si>
  <si>
    <t>3) Akshaya Traders</t>
  </si>
  <si>
    <t>4) Aman Dall Mill</t>
  </si>
  <si>
    <t>5) Arvind Pulses Mill</t>
  </si>
  <si>
    <t>6) Ashok Dall Mill</t>
  </si>
  <si>
    <t>7) Bankr Bihari Udyog</t>
  </si>
  <si>
    <t>8) Ganesh Traders</t>
  </si>
  <si>
    <t>9) Gowthami Rice Industries</t>
  </si>
  <si>
    <t>10) Hanuman Modern Rice Mill</t>
  </si>
  <si>
    <t>1)ABC&amp; Co</t>
  </si>
  <si>
    <t>1) Adhilaxmi Industries</t>
  </si>
  <si>
    <t>2)Ashok Dall Mill</t>
  </si>
  <si>
    <t>3) AMMa Traders</t>
  </si>
  <si>
    <t>4)Aandh Traders</t>
  </si>
  <si>
    <t>5)Arvind Agro Industries</t>
  </si>
  <si>
    <t>6) Bommidi Narayana 7 Co</t>
  </si>
  <si>
    <t>7) D Radga Naidu</t>
  </si>
  <si>
    <t>8) Gattani Traders</t>
  </si>
  <si>
    <t>9) Guru Dall Mill</t>
  </si>
  <si>
    <t>10) Hanuman Prasad 7 Co</t>
  </si>
  <si>
    <t>11)Heera Food Products</t>
  </si>
  <si>
    <t>12) Hemadri Industries</t>
  </si>
  <si>
    <t>13) Jagadesh Prasad &amp; co</t>
  </si>
  <si>
    <t>1) Akshaya Traders</t>
  </si>
  <si>
    <t>2) Aman Dall Mill</t>
  </si>
  <si>
    <t>6)Ashish Enterprises</t>
  </si>
  <si>
    <t>7) Ayyappa Dall Mill</t>
  </si>
  <si>
    <t>1)ABC &amp; Co</t>
  </si>
  <si>
    <t>2) A dhilaxmi Industries</t>
  </si>
  <si>
    <t>4)Ama Traders</t>
  </si>
  <si>
    <t>5) Aravind Pulses</t>
  </si>
  <si>
    <t>6) Akshay Enterprises</t>
  </si>
  <si>
    <t>7)Ayush Industries</t>
  </si>
  <si>
    <t>8)Baba Foods</t>
  </si>
  <si>
    <t>9) Bhavani Rice Mill</t>
  </si>
  <si>
    <t>10)Dharani Rice Industries</t>
  </si>
  <si>
    <t>11) Gajanana Traders</t>
  </si>
  <si>
    <t>12)G.K agro Industries</t>
  </si>
  <si>
    <t>13) Gokul Pulses</t>
  </si>
  <si>
    <t>14) Kamal Agro Industries</t>
  </si>
  <si>
    <t>15) Kishor Company</t>
  </si>
  <si>
    <t>AMT</t>
  </si>
  <si>
    <t>1) Akash Trading Company</t>
  </si>
  <si>
    <t>2) Baba Foods</t>
  </si>
  <si>
    <t>3) Bank Bihar Udyog</t>
  </si>
  <si>
    <t>4) Chandrika Rice Mill</t>
  </si>
  <si>
    <t>5)Arvind Pulses</t>
  </si>
  <si>
    <t>6) Laxmi Ganapathi Dees</t>
  </si>
  <si>
    <t>7) Laxmi Traders</t>
  </si>
  <si>
    <t>8) Mahee Industries</t>
  </si>
  <si>
    <t>9) Mahabir Agro Industries</t>
  </si>
  <si>
    <t>10) Mahak Industries</t>
  </si>
  <si>
    <t>11)Mahalaxmi Agro Industries</t>
  </si>
  <si>
    <t>12) Mahalaxmi Dall Producers</t>
  </si>
  <si>
    <t>7) Kamal Enterprises</t>
  </si>
  <si>
    <t>1) Mahak Industries</t>
  </si>
  <si>
    <t xml:space="preserve">3) Aravindpulse </t>
  </si>
  <si>
    <t xml:space="preserve"> OCT</t>
  </si>
  <si>
    <t xml:space="preserve"> sept</t>
  </si>
  <si>
    <t xml:space="preserve"> Aug</t>
  </si>
  <si>
    <t xml:space="preserve"> July</t>
  </si>
  <si>
    <t>june</t>
  </si>
  <si>
    <t xml:space="preserve"> May</t>
  </si>
  <si>
    <t xml:space="preserve"> Apr</t>
  </si>
  <si>
    <t xml:space="preserve"> Mar</t>
  </si>
  <si>
    <t xml:space="preserve"> Feb</t>
  </si>
  <si>
    <t>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</si>
</sst>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name val="Calibri"/>
      <family val="2"/>
      <scheme val="minor"/>
    </font>
    <font>
      <sz val="11"/>
      <color rgb="FFC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2" fontId="0" fillId="0" borderId="0" xfId="0" applyNumberFormat="1"/>
    <xf numFmtId="2" fontId="1" fillId="0" borderId="0" xfId="0" applyNumberFormat="1" applyFont="1"/>
    <xf numFmtId="0" fontId="4" fillId="0" borderId="0" xfId="0" applyFont="1"/>
    <xf numFmtId="2" fontId="4" fillId="0" borderId="0" xfId="0" applyNumberFormat="1" applyFont="1"/>
    <xf numFmtId="0" fontId="0" fillId="0" borderId="0" xfId="0" applyAlignment="1">
      <alignment horizontal="center"/>
    </xf>
    <xf numFmtId="2" fontId="5" fillId="0" borderId="0" xfId="0" applyNumberFormat="1" applyFont="1"/>
    <xf numFmtId="0" fontId="0" fillId="0" borderId="2" xfId="0" applyBorder="1"/>
    <xf numFmtId="0" fontId="5" fillId="0" borderId="0" xfId="0" applyFont="1"/>
    <xf numFmtId="2" fontId="1" fillId="0" borderId="0" xfId="0" applyNumberFormat="1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7" fontId="3" fillId="0" borderId="0" xfId="0" applyNumberFormat="1" applyFont="1" applyAlignment="1">
      <alignment horizontal="center"/>
    </xf>
    <xf numFmtId="0" fontId="1" fillId="0" borderId="1" xfId="0" applyFont="1" applyBorder="1" applyAlignment="1">
      <alignment horizontal="center"/>
    </xf>
    <xf numFmtId="17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A21" workbookViewId="0">
      <selection activeCell="G37" sqref="G37"/>
    </sheetView>
  </sheetViews>
  <sheetFormatPr defaultRowHeight="14.5" x14ac:dyDescent="0.35"/>
  <cols>
    <col min="5" max="5" width="11.36328125" customWidth="1"/>
  </cols>
  <sheetData>
    <row r="1" spans="1:9" ht="17.5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7.5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15.5" x14ac:dyDescent="0.35">
      <c r="A3" s="17">
        <v>45597</v>
      </c>
      <c r="B3" s="14"/>
      <c r="C3" s="14"/>
      <c r="D3" s="14"/>
      <c r="E3" s="14"/>
      <c r="F3" s="14"/>
      <c r="G3" s="14"/>
      <c r="H3" s="14"/>
      <c r="I3" s="14"/>
    </row>
    <row r="5" spans="1:9" x14ac:dyDescent="0.35">
      <c r="C5" s="18" t="s">
        <v>2</v>
      </c>
      <c r="D5" s="18"/>
      <c r="E5" s="18"/>
      <c r="G5" s="1" t="s">
        <v>53</v>
      </c>
      <c r="H5" s="1"/>
      <c r="I5" s="1"/>
    </row>
    <row r="6" spans="1:9" x14ac:dyDescent="0.35">
      <c r="A6" t="s">
        <v>3</v>
      </c>
      <c r="B6" t="s">
        <v>3</v>
      </c>
      <c r="C6" s="8" t="s">
        <v>39</v>
      </c>
      <c r="D6" s="8"/>
      <c r="E6" s="8"/>
      <c r="G6">
        <v>217932</v>
      </c>
    </row>
    <row r="7" spans="1:9" x14ac:dyDescent="0.35">
      <c r="A7" t="s">
        <v>4</v>
      </c>
      <c r="B7" t="s">
        <v>4</v>
      </c>
      <c r="C7" t="s">
        <v>40</v>
      </c>
      <c r="E7" s="2"/>
      <c r="G7">
        <v>429154</v>
      </c>
    </row>
    <row r="8" spans="1:9" x14ac:dyDescent="0.35">
      <c r="A8" t="s">
        <v>5</v>
      </c>
      <c r="B8" t="s">
        <v>5</v>
      </c>
      <c r="C8" t="s">
        <v>41</v>
      </c>
      <c r="E8" s="2"/>
      <c r="G8">
        <v>1282700</v>
      </c>
    </row>
    <row r="9" spans="1:9" x14ac:dyDescent="0.35">
      <c r="A9" t="s">
        <v>6</v>
      </c>
      <c r="B9" t="s">
        <v>6</v>
      </c>
      <c r="C9" t="s">
        <v>42</v>
      </c>
      <c r="E9" s="2"/>
      <c r="G9">
        <v>1263540</v>
      </c>
    </row>
    <row r="10" spans="1:9" x14ac:dyDescent="0.35">
      <c r="A10" t="s">
        <v>7</v>
      </c>
      <c r="B10" t="s">
        <v>7</v>
      </c>
      <c r="C10" t="s">
        <v>43</v>
      </c>
      <c r="E10" s="3"/>
      <c r="G10">
        <v>1910467</v>
      </c>
      <c r="I10" s="1"/>
    </row>
    <row r="11" spans="1:9" x14ac:dyDescent="0.35">
      <c r="A11" t="s">
        <v>8</v>
      </c>
      <c r="B11" t="s">
        <v>8</v>
      </c>
      <c r="C11" t="s">
        <v>44</v>
      </c>
      <c r="E11" s="2"/>
      <c r="G11">
        <v>2098624</v>
      </c>
    </row>
    <row r="12" spans="1:9" x14ac:dyDescent="0.35">
      <c r="A12" t="s">
        <v>9</v>
      </c>
      <c r="B12" t="s">
        <v>9</v>
      </c>
      <c r="C12" t="s">
        <v>45</v>
      </c>
      <c r="E12" s="2"/>
      <c r="G12">
        <v>766468</v>
      </c>
    </row>
    <row r="13" spans="1:9" x14ac:dyDescent="0.35">
      <c r="A13" t="s">
        <v>10</v>
      </c>
      <c r="B13" t="s">
        <v>34</v>
      </c>
      <c r="C13" t="s">
        <v>35</v>
      </c>
      <c r="E13" s="2"/>
      <c r="G13">
        <v>1356978</v>
      </c>
    </row>
    <row r="14" spans="1:9" x14ac:dyDescent="0.35">
      <c r="A14" t="s">
        <v>11</v>
      </c>
      <c r="B14" t="s">
        <v>10</v>
      </c>
      <c r="C14" t="s">
        <v>46</v>
      </c>
      <c r="E14" s="2"/>
      <c r="G14">
        <v>1622400</v>
      </c>
    </row>
    <row r="15" spans="1:9" x14ac:dyDescent="0.35">
      <c r="A15" t="s">
        <v>12</v>
      </c>
      <c r="B15" t="s">
        <v>11</v>
      </c>
      <c r="C15" t="s">
        <v>47</v>
      </c>
      <c r="E15" s="2"/>
      <c r="G15">
        <v>900000</v>
      </c>
    </row>
    <row r="16" spans="1:9" x14ac:dyDescent="0.35">
      <c r="A16" t="s">
        <v>13</v>
      </c>
      <c r="B16" t="s">
        <v>12</v>
      </c>
      <c r="C16" t="s">
        <v>48</v>
      </c>
      <c r="E16" s="2"/>
      <c r="G16">
        <v>1645408</v>
      </c>
    </row>
    <row r="17" spans="1:7" x14ac:dyDescent="0.35">
      <c r="A17" t="s">
        <v>14</v>
      </c>
      <c r="B17" t="s">
        <v>13</v>
      </c>
      <c r="C17" t="s">
        <v>36</v>
      </c>
      <c r="E17" s="2"/>
      <c r="G17">
        <v>2615550</v>
      </c>
    </row>
    <row r="18" spans="1:7" x14ac:dyDescent="0.35">
      <c r="A18" t="s">
        <v>15</v>
      </c>
      <c r="B18" t="s">
        <v>14</v>
      </c>
      <c r="C18" t="s">
        <v>49</v>
      </c>
      <c r="E18" s="2"/>
      <c r="G18">
        <v>1137271</v>
      </c>
    </row>
    <row r="19" spans="1:7" x14ac:dyDescent="0.35">
      <c r="A19" t="s">
        <v>16</v>
      </c>
      <c r="B19" t="s">
        <v>15</v>
      </c>
      <c r="C19" t="s">
        <v>50</v>
      </c>
      <c r="E19" s="2"/>
      <c r="G19">
        <v>2480178</v>
      </c>
    </row>
    <row r="20" spans="1:7" x14ac:dyDescent="0.35">
      <c r="A20" t="s">
        <v>17</v>
      </c>
      <c r="B20" t="s">
        <v>16</v>
      </c>
      <c r="C20" t="s">
        <v>51</v>
      </c>
      <c r="E20" s="2"/>
      <c r="G20">
        <v>1035270</v>
      </c>
    </row>
    <row r="21" spans="1:7" x14ac:dyDescent="0.35">
      <c r="A21" t="s">
        <v>18</v>
      </c>
      <c r="B21" t="s">
        <v>17</v>
      </c>
      <c r="C21" t="s">
        <v>52</v>
      </c>
      <c r="E21" s="2"/>
      <c r="G21">
        <v>1517350</v>
      </c>
    </row>
    <row r="22" spans="1:7" x14ac:dyDescent="0.35">
      <c r="A22" t="s">
        <v>19</v>
      </c>
      <c r="B22" t="s">
        <v>18</v>
      </c>
      <c r="C22" t="s">
        <v>54</v>
      </c>
      <c r="E22" s="2"/>
      <c r="G22">
        <v>1409480</v>
      </c>
    </row>
    <row r="23" spans="1:7" x14ac:dyDescent="0.35">
      <c r="A23" t="s">
        <v>20</v>
      </c>
      <c r="B23" t="s">
        <v>19</v>
      </c>
      <c r="C23" t="s">
        <v>55</v>
      </c>
      <c r="G23">
        <v>1394080</v>
      </c>
    </row>
    <row r="24" spans="1:7" x14ac:dyDescent="0.35">
      <c r="A24" t="s">
        <v>21</v>
      </c>
      <c r="B24" t="s">
        <v>20</v>
      </c>
      <c r="C24" t="s">
        <v>56</v>
      </c>
      <c r="G24">
        <v>1403480</v>
      </c>
    </row>
    <row r="25" spans="1:7" x14ac:dyDescent="0.35">
      <c r="A25" t="s">
        <v>22</v>
      </c>
      <c r="B25" t="s">
        <v>21</v>
      </c>
      <c r="C25" t="s">
        <v>37</v>
      </c>
      <c r="G25">
        <v>1382065</v>
      </c>
    </row>
    <row r="26" spans="1:7" x14ac:dyDescent="0.35">
      <c r="A26" t="s">
        <v>23</v>
      </c>
      <c r="B26" t="s">
        <v>22</v>
      </c>
      <c r="C26" t="s">
        <v>57</v>
      </c>
      <c r="G26">
        <v>7467966</v>
      </c>
    </row>
    <row r="27" spans="1:7" x14ac:dyDescent="0.35">
      <c r="A27" t="s">
        <v>24</v>
      </c>
      <c r="B27" t="s">
        <v>23</v>
      </c>
      <c r="C27" t="s">
        <v>58</v>
      </c>
      <c r="G27">
        <v>2736094</v>
      </c>
    </row>
    <row r="28" spans="1:7" x14ac:dyDescent="0.35">
      <c r="A28" t="s">
        <v>25</v>
      </c>
      <c r="B28" t="s">
        <v>24</v>
      </c>
      <c r="C28" t="s">
        <v>59</v>
      </c>
      <c r="G28">
        <v>2305108</v>
      </c>
    </row>
    <row r="29" spans="1:7" x14ac:dyDescent="0.35">
      <c r="A29" t="s">
        <v>26</v>
      </c>
      <c r="B29" t="s">
        <v>25</v>
      </c>
      <c r="C29" t="s">
        <v>60</v>
      </c>
      <c r="G29">
        <v>1586150</v>
      </c>
    </row>
    <row r="30" spans="1:7" x14ac:dyDescent="0.35">
      <c r="A30" t="s">
        <v>27</v>
      </c>
      <c r="B30" t="s">
        <v>26</v>
      </c>
      <c r="C30" t="s">
        <v>61</v>
      </c>
      <c r="G30">
        <v>1571984</v>
      </c>
    </row>
    <row r="31" spans="1:7" x14ac:dyDescent="0.35">
      <c r="A31" t="s">
        <v>28</v>
      </c>
      <c r="B31" t="s">
        <v>27</v>
      </c>
      <c r="C31" t="s">
        <v>62</v>
      </c>
      <c r="G31">
        <v>690109</v>
      </c>
    </row>
    <row r="32" spans="1:7" x14ac:dyDescent="0.35">
      <c r="A32" t="s">
        <v>29</v>
      </c>
      <c r="B32" t="s">
        <v>28</v>
      </c>
      <c r="C32" t="s">
        <v>63</v>
      </c>
      <c r="G32">
        <v>1549560</v>
      </c>
    </row>
    <row r="33" spans="1:9" x14ac:dyDescent="0.35">
      <c r="A33" t="s">
        <v>30</v>
      </c>
      <c r="B33" t="s">
        <v>29</v>
      </c>
      <c r="C33" t="s">
        <v>64</v>
      </c>
      <c r="G33">
        <v>3449310</v>
      </c>
    </row>
    <row r="34" spans="1:9" x14ac:dyDescent="0.35">
      <c r="A34" t="s">
        <v>31</v>
      </c>
      <c r="B34" t="s">
        <v>30</v>
      </c>
      <c r="C34" t="s">
        <v>65</v>
      </c>
      <c r="G34">
        <v>824486</v>
      </c>
    </row>
    <row r="35" spans="1:9" x14ac:dyDescent="0.35">
      <c r="A35" t="s">
        <v>32</v>
      </c>
      <c r="B35" t="s">
        <v>31</v>
      </c>
      <c r="C35" t="s">
        <v>66</v>
      </c>
      <c r="G35">
        <v>1729140</v>
      </c>
    </row>
    <row r="36" spans="1:9" x14ac:dyDescent="0.35">
      <c r="B36" t="s">
        <v>32</v>
      </c>
      <c r="C36" t="s">
        <v>67</v>
      </c>
      <c r="G36">
        <v>1653698</v>
      </c>
    </row>
    <row r="37" spans="1:9" x14ac:dyDescent="0.35">
      <c r="E37" s="1"/>
      <c r="G37" s="9">
        <f>SUM(G6:G36)</f>
        <v>53432000</v>
      </c>
      <c r="I37">
        <v>53432000</v>
      </c>
    </row>
  </sheetData>
  <mergeCells count="4">
    <mergeCell ref="A1:I1"/>
    <mergeCell ref="A2:I2"/>
    <mergeCell ref="A3:I3"/>
    <mergeCell ref="C5:E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topLeftCell="A3" workbookViewId="0">
      <selection activeCell="G22" sqref="G22"/>
    </sheetView>
  </sheetViews>
  <sheetFormatPr defaultRowHeight="14.5" x14ac:dyDescent="0.35"/>
  <cols>
    <col min="3" max="3" width="12.90625" customWidth="1"/>
    <col min="4" max="4" width="12.453125" customWidth="1"/>
    <col min="6" max="6" width="11.54296875" bestFit="1" customWidth="1"/>
    <col min="7" max="7" width="12.08984375" customWidth="1"/>
  </cols>
  <sheetData>
    <row r="1" spans="1:9" ht="17.5" x14ac:dyDescent="0.35">
      <c r="A1" s="13" t="s">
        <v>0</v>
      </c>
      <c r="B1" s="13"/>
      <c r="C1" s="13"/>
      <c r="D1" s="13"/>
      <c r="E1" s="13"/>
      <c r="F1" s="13"/>
      <c r="G1" s="13"/>
      <c r="H1" s="13"/>
      <c r="I1" s="13"/>
    </row>
    <row r="2" spans="1:9" ht="17.5" x14ac:dyDescent="0.35">
      <c r="A2" s="13" t="s">
        <v>1</v>
      </c>
      <c r="B2" s="13"/>
      <c r="C2" s="13"/>
      <c r="D2" s="13"/>
      <c r="E2" s="13"/>
      <c r="F2" s="13"/>
      <c r="G2" s="13"/>
      <c r="H2" s="13"/>
      <c r="I2" s="13"/>
    </row>
    <row r="3" spans="1:9" ht="15.5" x14ac:dyDescent="0.35">
      <c r="A3" s="14"/>
      <c r="B3" s="14"/>
      <c r="C3" s="14"/>
      <c r="D3" s="14"/>
      <c r="E3" s="14"/>
      <c r="F3" s="14"/>
      <c r="G3" s="14"/>
      <c r="H3" s="14"/>
      <c r="I3" s="14"/>
    </row>
    <row r="4" spans="1:9" x14ac:dyDescent="0.35">
      <c r="D4" s="15" t="s">
        <v>81</v>
      </c>
      <c r="E4" s="15"/>
    </row>
    <row r="5" spans="1:9" x14ac:dyDescent="0.35">
      <c r="A5" s="16"/>
      <c r="B5" s="16"/>
      <c r="C5" s="16"/>
      <c r="D5" s="16" t="s">
        <v>33</v>
      </c>
      <c r="E5" s="16"/>
      <c r="F5" s="16"/>
      <c r="G5" t="s">
        <v>82</v>
      </c>
    </row>
    <row r="7" spans="1:9" x14ac:dyDescent="0.35">
      <c r="C7" s="2"/>
      <c r="D7" t="s">
        <v>38</v>
      </c>
      <c r="F7" s="2"/>
      <c r="G7" s="2">
        <v>1154431</v>
      </c>
    </row>
    <row r="8" spans="1:9" x14ac:dyDescent="0.35">
      <c r="C8" s="2"/>
      <c r="D8" t="s">
        <v>68</v>
      </c>
      <c r="F8" s="2"/>
      <c r="G8" s="2">
        <v>2665150</v>
      </c>
    </row>
    <row r="9" spans="1:9" x14ac:dyDescent="0.35">
      <c r="C9" s="2"/>
      <c r="D9" t="s">
        <v>69</v>
      </c>
      <c r="F9" s="2"/>
      <c r="G9">
        <v>2699952</v>
      </c>
    </row>
    <row r="10" spans="1:9" x14ac:dyDescent="0.35">
      <c r="C10" s="3"/>
      <c r="D10" s="4" t="s">
        <v>70</v>
      </c>
      <c r="E10" s="4"/>
      <c r="F10" s="5"/>
      <c r="G10" s="2">
        <v>1344200</v>
      </c>
    </row>
    <row r="11" spans="1:9" x14ac:dyDescent="0.35">
      <c r="D11" t="s">
        <v>71</v>
      </c>
      <c r="F11" s="2"/>
      <c r="G11">
        <v>1578415</v>
      </c>
    </row>
    <row r="12" spans="1:9" x14ac:dyDescent="0.35">
      <c r="D12" t="s">
        <v>72</v>
      </c>
      <c r="F12" s="2"/>
      <c r="G12">
        <v>3000000</v>
      </c>
    </row>
    <row r="13" spans="1:9" x14ac:dyDescent="0.35">
      <c r="D13" t="s">
        <v>73</v>
      </c>
      <c r="F13" s="2"/>
      <c r="G13">
        <v>4164670</v>
      </c>
    </row>
    <row r="14" spans="1:9" x14ac:dyDescent="0.35">
      <c r="D14" t="s">
        <v>74</v>
      </c>
      <c r="F14" s="2"/>
      <c r="G14">
        <v>2305100</v>
      </c>
    </row>
    <row r="15" spans="1:9" x14ac:dyDescent="0.35">
      <c r="D15" t="s">
        <v>76</v>
      </c>
      <c r="F15" s="2"/>
      <c r="G15">
        <v>1429800</v>
      </c>
    </row>
    <row r="16" spans="1:9" x14ac:dyDescent="0.35">
      <c r="D16" t="s">
        <v>75</v>
      </c>
      <c r="F16" s="2"/>
      <c r="G16">
        <v>1582143</v>
      </c>
    </row>
    <row r="17" spans="4:9" x14ac:dyDescent="0.35">
      <c r="D17" t="s">
        <v>77</v>
      </c>
      <c r="F17" s="2"/>
      <c r="G17">
        <v>1649560</v>
      </c>
    </row>
    <row r="18" spans="4:9" x14ac:dyDescent="0.35">
      <c r="D18" t="s">
        <v>78</v>
      </c>
      <c r="G18">
        <v>2649310</v>
      </c>
    </row>
    <row r="19" spans="4:9" x14ac:dyDescent="0.35">
      <c r="D19" t="s">
        <v>79</v>
      </c>
      <c r="G19" s="6">
        <v>182486</v>
      </c>
    </row>
    <row r="20" spans="4:9" x14ac:dyDescent="0.35">
      <c r="D20" t="s">
        <v>80</v>
      </c>
      <c r="F20" s="3"/>
      <c r="G20">
        <v>3034643</v>
      </c>
    </row>
    <row r="21" spans="4:9" x14ac:dyDescent="0.35">
      <c r="D21" t="s">
        <v>83</v>
      </c>
      <c r="G21">
        <v>1729140</v>
      </c>
    </row>
    <row r="22" spans="4:9" x14ac:dyDescent="0.35">
      <c r="G22" s="3">
        <f>SUM(G7:G21)</f>
        <v>31169000</v>
      </c>
      <c r="I22">
        <v>31169000</v>
      </c>
    </row>
  </sheetData>
  <mergeCells count="6">
    <mergeCell ref="A1:I1"/>
    <mergeCell ref="A2:I2"/>
    <mergeCell ref="A3:I3"/>
    <mergeCell ref="D5:F5"/>
    <mergeCell ref="A5:C5"/>
    <mergeCell ref="D4:E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22"/>
  <sheetViews>
    <sheetView tabSelected="1" topLeftCell="C2" workbookViewId="0">
      <selection activeCell="E5" sqref="E5:G5"/>
    </sheetView>
  </sheetViews>
  <sheetFormatPr defaultRowHeight="14.5" x14ac:dyDescent="0.35"/>
  <cols>
    <col min="6" max="6" width="12.08984375" customWidth="1"/>
    <col min="7" max="7" width="11.90625" customWidth="1"/>
    <col min="8" max="8" width="12.6328125" customWidth="1"/>
  </cols>
  <sheetData>
    <row r="1" spans="2:10" ht="17.5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</row>
    <row r="2" spans="2:10" ht="17.5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ht="15.5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5">
      <c r="E4" s="19" t="s">
        <v>171</v>
      </c>
      <c r="F4" s="15"/>
    </row>
    <row r="5" spans="2:10" x14ac:dyDescent="0.35">
      <c r="B5" s="16"/>
      <c r="C5" s="16"/>
      <c r="D5" s="16"/>
      <c r="E5" s="16" t="s">
        <v>33</v>
      </c>
      <c r="F5" s="16"/>
      <c r="G5" s="16"/>
      <c r="H5" t="s">
        <v>82</v>
      </c>
    </row>
    <row r="6" spans="2:10" x14ac:dyDescent="0.35">
      <c r="G6" s="2"/>
    </row>
    <row r="7" spans="2:10" x14ac:dyDescent="0.35">
      <c r="D7" s="2"/>
      <c r="E7" t="s">
        <v>3</v>
      </c>
      <c r="F7" t="s">
        <v>41</v>
      </c>
      <c r="G7" s="2"/>
      <c r="H7" s="2">
        <v>382700</v>
      </c>
    </row>
    <row r="8" spans="2:10" x14ac:dyDescent="0.35">
      <c r="D8" s="2" t="s">
        <v>34</v>
      </c>
      <c r="E8" t="s">
        <v>4</v>
      </c>
      <c r="F8" t="s">
        <v>42</v>
      </c>
      <c r="G8" s="2"/>
      <c r="H8" s="2">
        <v>563510</v>
      </c>
    </row>
    <row r="9" spans="2:10" x14ac:dyDescent="0.35">
      <c r="D9" s="2"/>
      <c r="E9" t="s">
        <v>5</v>
      </c>
      <c r="F9" t="s">
        <v>43</v>
      </c>
      <c r="G9" s="2"/>
      <c r="H9">
        <v>1910487</v>
      </c>
    </row>
    <row r="10" spans="2:10" x14ac:dyDescent="0.35">
      <c r="D10" s="3"/>
      <c r="E10" s="1" t="s">
        <v>6</v>
      </c>
      <c r="F10" s="1" t="s">
        <v>44</v>
      </c>
      <c r="G10" s="3"/>
      <c r="H10" s="3">
        <v>698624</v>
      </c>
    </row>
    <row r="11" spans="2:10" x14ac:dyDescent="0.35">
      <c r="E11" t="s">
        <v>7</v>
      </c>
      <c r="F11" t="s">
        <v>84</v>
      </c>
      <c r="G11" s="2"/>
      <c r="H11">
        <v>1166748</v>
      </c>
    </row>
    <row r="12" spans="2:10" x14ac:dyDescent="0.35">
      <c r="E12" t="s">
        <v>8</v>
      </c>
      <c r="F12" t="s">
        <v>85</v>
      </c>
      <c r="G12" s="2"/>
      <c r="H12">
        <v>939278</v>
      </c>
    </row>
    <row r="13" spans="2:10" x14ac:dyDescent="0.35">
      <c r="E13" t="s">
        <v>9</v>
      </c>
      <c r="F13" t="s">
        <v>47</v>
      </c>
      <c r="G13" s="2"/>
      <c r="H13">
        <v>900000</v>
      </c>
    </row>
    <row r="14" spans="2:10" x14ac:dyDescent="0.35">
      <c r="E14" t="s">
        <v>10</v>
      </c>
      <c r="F14" t="s">
        <v>86</v>
      </c>
      <c r="G14" s="2"/>
      <c r="H14">
        <v>645980</v>
      </c>
    </row>
    <row r="15" spans="2:10" x14ac:dyDescent="0.35">
      <c r="E15" t="s">
        <v>11</v>
      </c>
      <c r="F15" t="s">
        <v>87</v>
      </c>
      <c r="G15" s="2"/>
      <c r="H15">
        <v>300000</v>
      </c>
    </row>
    <row r="16" spans="2:10" x14ac:dyDescent="0.35">
      <c r="E16" t="s">
        <v>12</v>
      </c>
      <c r="F16" t="s">
        <v>36</v>
      </c>
      <c r="G16" s="2"/>
      <c r="H16">
        <v>615560</v>
      </c>
    </row>
    <row r="17" spans="5:8" x14ac:dyDescent="0.35">
      <c r="E17" t="s">
        <v>13</v>
      </c>
      <c r="F17" t="s">
        <v>88</v>
      </c>
      <c r="G17" s="2"/>
      <c r="H17">
        <v>627325</v>
      </c>
    </row>
    <row r="18" spans="5:8" x14ac:dyDescent="0.35">
      <c r="E18" t="s">
        <v>14</v>
      </c>
      <c r="F18" t="s">
        <v>89</v>
      </c>
      <c r="G18" s="2"/>
      <c r="H18">
        <v>398062</v>
      </c>
    </row>
    <row r="19" spans="5:8" x14ac:dyDescent="0.35">
      <c r="E19" t="s">
        <v>15</v>
      </c>
      <c r="F19" t="s">
        <v>90</v>
      </c>
      <c r="G19" s="3">
        <f>SUM(G6:G18)</f>
        <v>0</v>
      </c>
      <c r="H19">
        <v>364820</v>
      </c>
    </row>
    <row r="20" spans="5:8" x14ac:dyDescent="0.35">
      <c r="E20" t="s">
        <v>16</v>
      </c>
      <c r="F20" t="s">
        <v>91</v>
      </c>
      <c r="H20">
        <v>506220</v>
      </c>
    </row>
    <row r="21" spans="5:8" x14ac:dyDescent="0.35">
      <c r="E21" t="s">
        <v>17</v>
      </c>
      <c r="F21" t="s">
        <v>92</v>
      </c>
      <c r="H21">
        <v>226970</v>
      </c>
    </row>
    <row r="22" spans="5:8" x14ac:dyDescent="0.35">
      <c r="H22" s="10">
        <f>SUM(H7:H21)</f>
        <v>10246284</v>
      </c>
    </row>
  </sheetData>
  <mergeCells count="6">
    <mergeCell ref="B1:J1"/>
    <mergeCell ref="B2:J2"/>
    <mergeCell ref="B3:J3"/>
    <mergeCell ref="E4:F4"/>
    <mergeCell ref="B5:D5"/>
    <mergeCell ref="E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9110B-1317-4963-8B96-898282DE7C45}">
  <dimension ref="B1:J18"/>
  <sheetViews>
    <sheetView topLeftCell="B1" workbookViewId="0">
      <selection activeCell="E4" sqref="E4:F4"/>
    </sheetView>
  </sheetViews>
  <sheetFormatPr defaultRowHeight="14.5" x14ac:dyDescent="0.35"/>
  <cols>
    <col min="6" max="6" width="12" customWidth="1"/>
    <col min="7" max="7" width="12.36328125" customWidth="1"/>
    <col min="8" max="8" width="9.54296875" bestFit="1" customWidth="1"/>
  </cols>
  <sheetData>
    <row r="1" spans="2:10" ht="17.5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</row>
    <row r="2" spans="2:10" ht="17.5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ht="15.5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5">
      <c r="E4" s="20" t="s">
        <v>170</v>
      </c>
      <c r="F4" s="20"/>
    </row>
    <row r="5" spans="2:10" x14ac:dyDescent="0.35">
      <c r="B5" s="16"/>
      <c r="C5" s="16"/>
      <c r="D5" s="16"/>
      <c r="E5" s="16" t="s">
        <v>33</v>
      </c>
      <c r="F5" s="16"/>
      <c r="G5" s="16"/>
      <c r="H5" t="s">
        <v>82</v>
      </c>
    </row>
    <row r="6" spans="2:10" x14ac:dyDescent="0.35">
      <c r="F6" t="s">
        <v>93</v>
      </c>
      <c r="G6" s="2"/>
      <c r="H6">
        <v>1026200</v>
      </c>
    </row>
    <row r="7" spans="2:10" x14ac:dyDescent="0.35">
      <c r="D7" s="2"/>
      <c r="F7" t="s">
        <v>94</v>
      </c>
      <c r="G7" s="2"/>
      <c r="H7" s="2">
        <v>682700</v>
      </c>
    </row>
    <row r="8" spans="2:10" x14ac:dyDescent="0.35">
      <c r="B8">
        <v>1367070</v>
      </c>
      <c r="D8" s="2"/>
      <c r="F8" t="s">
        <v>95</v>
      </c>
      <c r="G8" s="2"/>
      <c r="H8" s="2">
        <v>610400</v>
      </c>
    </row>
    <row r="9" spans="2:10" x14ac:dyDescent="0.35">
      <c r="D9" s="2"/>
      <c r="F9" t="s">
        <v>96</v>
      </c>
      <c r="G9" s="2"/>
      <c r="H9">
        <v>766468</v>
      </c>
    </row>
    <row r="10" spans="2:10" x14ac:dyDescent="0.35">
      <c r="D10" s="3"/>
      <c r="E10" s="4"/>
      <c r="F10" s="4" t="s">
        <v>97</v>
      </c>
      <c r="G10" s="5"/>
      <c r="H10" s="3">
        <v>641200</v>
      </c>
    </row>
    <row r="11" spans="2:10" x14ac:dyDescent="0.35">
      <c r="F11" t="s">
        <v>98</v>
      </c>
      <c r="G11" s="2"/>
      <c r="H11">
        <v>1200000</v>
      </c>
    </row>
    <row r="12" spans="2:10" x14ac:dyDescent="0.35">
      <c r="F12" t="s">
        <v>99</v>
      </c>
      <c r="G12" s="2"/>
      <c r="H12">
        <v>783773</v>
      </c>
    </row>
    <row r="13" spans="2:10" x14ac:dyDescent="0.35">
      <c r="F13" t="s">
        <v>100</v>
      </c>
      <c r="G13" s="2"/>
      <c r="H13">
        <v>637271</v>
      </c>
    </row>
    <row r="14" spans="2:10" x14ac:dyDescent="0.35">
      <c r="F14" t="s">
        <v>101</v>
      </c>
      <c r="G14" s="2"/>
      <c r="H14">
        <v>469480</v>
      </c>
    </row>
    <row r="15" spans="2:10" x14ac:dyDescent="0.35">
      <c r="F15" t="s">
        <v>102</v>
      </c>
      <c r="G15" s="2"/>
      <c r="H15">
        <v>802000</v>
      </c>
    </row>
    <row r="16" spans="2:10" x14ac:dyDescent="0.35">
      <c r="F16" t="s">
        <v>103</v>
      </c>
      <c r="G16" s="2"/>
      <c r="H16">
        <v>626970</v>
      </c>
    </row>
    <row r="17" spans="6:8" x14ac:dyDescent="0.35">
      <c r="F17" t="s">
        <v>104</v>
      </c>
      <c r="G17" s="3"/>
      <c r="H17">
        <v>1382030</v>
      </c>
    </row>
    <row r="18" spans="6:8" x14ac:dyDescent="0.35">
      <c r="G18" s="2"/>
      <c r="H18" s="1">
        <f>SUM(H6:H17)</f>
        <v>9628492</v>
      </c>
    </row>
  </sheetData>
  <mergeCells count="6">
    <mergeCell ref="B1:J1"/>
    <mergeCell ref="B2:J2"/>
    <mergeCell ref="B3:J3"/>
    <mergeCell ref="E4:F4"/>
    <mergeCell ref="B5:D5"/>
    <mergeCell ref="E5:G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F811F-B48D-44F0-B43D-F0FDFF478F14}">
  <dimension ref="B1:J18"/>
  <sheetViews>
    <sheetView workbookViewId="0">
      <selection activeCell="E4" sqref="E4:F4"/>
    </sheetView>
  </sheetViews>
  <sheetFormatPr defaultRowHeight="14.5" x14ac:dyDescent="0.35"/>
  <cols>
    <col min="6" max="6" width="13" customWidth="1"/>
    <col min="7" max="7" width="27.90625" customWidth="1"/>
  </cols>
  <sheetData>
    <row r="1" spans="2:10" ht="17.5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</row>
    <row r="2" spans="2:10" ht="17.5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ht="15.5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5">
      <c r="E4" s="15" t="s">
        <v>169</v>
      </c>
      <c r="F4" s="15"/>
    </row>
    <row r="5" spans="2:10" x14ac:dyDescent="0.35">
      <c r="B5" s="16"/>
      <c r="C5" s="16"/>
      <c r="D5" s="16"/>
      <c r="E5" s="16" t="s">
        <v>33</v>
      </c>
      <c r="F5" s="16"/>
      <c r="G5" s="16"/>
    </row>
    <row r="7" spans="2:10" x14ac:dyDescent="0.35">
      <c r="D7" s="2"/>
      <c r="E7" t="s">
        <v>114</v>
      </c>
      <c r="G7" s="2">
        <v>392000</v>
      </c>
      <c r="H7" s="2"/>
    </row>
    <row r="8" spans="2:10" x14ac:dyDescent="0.35">
      <c r="D8" s="2"/>
      <c r="E8" t="s">
        <v>105</v>
      </c>
      <c r="G8" s="2">
        <v>492000</v>
      </c>
      <c r="H8" s="2"/>
    </row>
    <row r="9" spans="2:10" x14ac:dyDescent="0.35">
      <c r="D9" s="2"/>
      <c r="E9" t="s">
        <v>106</v>
      </c>
      <c r="G9" s="2">
        <v>598300</v>
      </c>
    </row>
    <row r="10" spans="2:10" x14ac:dyDescent="0.35">
      <c r="D10" s="3"/>
      <c r="E10" s="1" t="s">
        <v>107</v>
      </c>
      <c r="F10" s="1"/>
      <c r="G10" s="3">
        <v>897200</v>
      </c>
      <c r="H10" s="3"/>
    </row>
    <row r="11" spans="2:10" x14ac:dyDescent="0.35">
      <c r="E11" t="s">
        <v>108</v>
      </c>
      <c r="G11" s="2">
        <v>624300</v>
      </c>
    </row>
    <row r="12" spans="2:10" x14ac:dyDescent="0.35">
      <c r="E12" t="s">
        <v>109</v>
      </c>
      <c r="G12" s="2">
        <v>1695200</v>
      </c>
    </row>
    <row r="13" spans="2:10" x14ac:dyDescent="0.35">
      <c r="E13" t="s">
        <v>110</v>
      </c>
      <c r="G13" s="2">
        <v>1500000</v>
      </c>
    </row>
    <row r="14" spans="2:10" x14ac:dyDescent="0.35">
      <c r="E14" t="s">
        <v>111</v>
      </c>
      <c r="G14" s="2">
        <v>898240</v>
      </c>
    </row>
    <row r="15" spans="2:10" x14ac:dyDescent="0.35">
      <c r="E15" t="s">
        <v>112</v>
      </c>
      <c r="G15">
        <v>848560</v>
      </c>
    </row>
    <row r="16" spans="2:10" x14ac:dyDescent="0.35">
      <c r="E16" t="s">
        <v>113</v>
      </c>
      <c r="G16" s="2">
        <v>578500</v>
      </c>
    </row>
    <row r="17" spans="7:7" x14ac:dyDescent="0.35">
      <c r="G17" s="3">
        <f>SUM(G7:G16)</f>
        <v>8524300</v>
      </c>
    </row>
    <row r="18" spans="7:7" x14ac:dyDescent="0.35">
      <c r="G18" s="2"/>
    </row>
  </sheetData>
  <mergeCells count="6">
    <mergeCell ref="B1:J1"/>
    <mergeCell ref="B2:J2"/>
    <mergeCell ref="B3:J3"/>
    <mergeCell ref="E4:F4"/>
    <mergeCell ref="B5:D5"/>
    <mergeCell ref="E5: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00D08-ED00-4200-853E-8FE9BDACF5F3}">
  <dimension ref="B1:J20"/>
  <sheetViews>
    <sheetView workbookViewId="0">
      <selection activeCell="E4" sqref="E4:F4"/>
    </sheetView>
  </sheetViews>
  <sheetFormatPr defaultRowHeight="14.5" x14ac:dyDescent="0.35"/>
  <cols>
    <col min="7" max="7" width="20.90625" customWidth="1"/>
  </cols>
  <sheetData>
    <row r="1" spans="2:10" ht="17.5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</row>
    <row r="2" spans="2:10" ht="17.5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ht="15.5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5">
      <c r="E4" s="15" t="s">
        <v>168</v>
      </c>
      <c r="F4" s="15"/>
    </row>
    <row r="5" spans="2:10" x14ac:dyDescent="0.35">
      <c r="B5" s="16"/>
      <c r="C5" s="16"/>
      <c r="D5" s="16"/>
      <c r="E5" s="16" t="s">
        <v>33</v>
      </c>
      <c r="F5" s="16"/>
      <c r="G5" s="16"/>
    </row>
    <row r="7" spans="2:10" x14ac:dyDescent="0.35">
      <c r="D7" s="2"/>
      <c r="E7" t="s">
        <v>115</v>
      </c>
      <c r="G7" s="2">
        <v>1602400</v>
      </c>
      <c r="H7" s="2"/>
    </row>
    <row r="8" spans="2:10" x14ac:dyDescent="0.35">
      <c r="D8" s="2"/>
      <c r="E8" t="s">
        <v>116</v>
      </c>
      <c r="G8" s="2">
        <v>1398200</v>
      </c>
      <c r="H8" s="2"/>
    </row>
    <row r="9" spans="2:10" x14ac:dyDescent="0.35">
      <c r="D9" s="2"/>
      <c r="E9" t="s">
        <v>117</v>
      </c>
      <c r="G9" s="2">
        <v>1341049</v>
      </c>
    </row>
    <row r="10" spans="2:10" x14ac:dyDescent="0.35">
      <c r="D10" s="3"/>
      <c r="E10" s="1" t="s">
        <v>118</v>
      </c>
      <c r="F10" s="1"/>
      <c r="G10" s="3">
        <v>1168300</v>
      </c>
      <c r="H10" s="3"/>
    </row>
    <row r="11" spans="2:10" x14ac:dyDescent="0.35">
      <c r="D11" s="2"/>
      <c r="E11" t="s">
        <v>119</v>
      </c>
      <c r="G11" s="2">
        <v>1698220</v>
      </c>
    </row>
    <row r="12" spans="2:10" x14ac:dyDescent="0.35">
      <c r="D12" s="2"/>
      <c r="E12" t="s">
        <v>120</v>
      </c>
      <c r="G12" s="2">
        <v>1480000</v>
      </c>
    </row>
    <row r="13" spans="2:10" x14ac:dyDescent="0.35">
      <c r="D13" s="2"/>
      <c r="E13" t="s">
        <v>121</v>
      </c>
      <c r="G13" s="2">
        <v>1706225</v>
      </c>
    </row>
    <row r="14" spans="2:10" x14ac:dyDescent="0.35">
      <c r="D14" s="2"/>
      <c r="E14" t="s">
        <v>122</v>
      </c>
      <c r="G14" s="2">
        <v>1397120</v>
      </c>
    </row>
    <row r="15" spans="2:10" x14ac:dyDescent="0.35">
      <c r="D15" s="2"/>
      <c r="E15" t="s">
        <v>123</v>
      </c>
      <c r="G15" s="2">
        <v>1112931</v>
      </c>
    </row>
    <row r="16" spans="2:10" x14ac:dyDescent="0.35">
      <c r="D16" s="2"/>
      <c r="E16" t="s">
        <v>124</v>
      </c>
      <c r="G16" s="2">
        <v>2942750</v>
      </c>
    </row>
    <row r="17" spans="4:7" x14ac:dyDescent="0.35">
      <c r="D17" s="2"/>
      <c r="E17" t="s">
        <v>125</v>
      </c>
      <c r="G17" s="7">
        <v>2467960</v>
      </c>
    </row>
    <row r="18" spans="4:7" x14ac:dyDescent="0.35">
      <c r="E18" t="s">
        <v>126</v>
      </c>
      <c r="G18" s="2">
        <v>1614220</v>
      </c>
    </row>
    <row r="19" spans="4:7" x14ac:dyDescent="0.35">
      <c r="E19" t="s">
        <v>127</v>
      </c>
      <c r="G19" s="2">
        <v>2630925</v>
      </c>
    </row>
    <row r="20" spans="4:7" x14ac:dyDescent="0.35">
      <c r="G20" s="3">
        <f>SUM(G7:G19)</f>
        <v>22560300</v>
      </c>
    </row>
  </sheetData>
  <mergeCells count="6">
    <mergeCell ref="B1:J1"/>
    <mergeCell ref="B2:J2"/>
    <mergeCell ref="B3:J3"/>
    <mergeCell ref="E4:F4"/>
    <mergeCell ref="B5:D5"/>
    <mergeCell ref="E5:G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5EDF9-CAC2-4187-97FC-27D32FC31C00}">
  <dimension ref="C1:K20"/>
  <sheetViews>
    <sheetView workbookViewId="0">
      <selection activeCell="F4" sqref="F4:G4"/>
    </sheetView>
  </sheetViews>
  <sheetFormatPr defaultRowHeight="14.5" x14ac:dyDescent="0.35"/>
  <cols>
    <col min="9" max="9" width="11.81640625" customWidth="1"/>
  </cols>
  <sheetData>
    <row r="1" spans="3:11" ht="17.5" x14ac:dyDescent="0.35">
      <c r="C1" s="13" t="s">
        <v>0</v>
      </c>
      <c r="D1" s="13"/>
      <c r="E1" s="13"/>
      <c r="F1" s="13"/>
      <c r="G1" s="13"/>
      <c r="H1" s="13"/>
      <c r="I1" s="13"/>
      <c r="J1" s="13"/>
      <c r="K1" s="13"/>
    </row>
    <row r="2" spans="3:11" ht="17.5" x14ac:dyDescent="0.35">
      <c r="C2" s="13" t="s">
        <v>1</v>
      </c>
      <c r="D2" s="13"/>
      <c r="E2" s="13"/>
      <c r="F2" s="13"/>
      <c r="G2" s="13"/>
      <c r="H2" s="13"/>
      <c r="I2" s="13"/>
      <c r="J2" s="13"/>
      <c r="K2" s="13"/>
    </row>
    <row r="3" spans="3:11" ht="15.5" x14ac:dyDescent="0.35">
      <c r="C3" s="14"/>
      <c r="D3" s="14"/>
      <c r="E3" s="14"/>
      <c r="F3" s="14"/>
      <c r="G3" s="14"/>
      <c r="H3" s="14"/>
      <c r="I3" s="14"/>
      <c r="J3" s="14"/>
      <c r="K3" s="14"/>
    </row>
    <row r="4" spans="3:11" x14ac:dyDescent="0.35">
      <c r="F4" s="15" t="s">
        <v>167</v>
      </c>
      <c r="G4" s="15"/>
    </row>
    <row r="5" spans="3:11" x14ac:dyDescent="0.35">
      <c r="C5" s="16"/>
      <c r="D5" s="16"/>
      <c r="E5" s="16"/>
      <c r="F5" s="16" t="s">
        <v>33</v>
      </c>
      <c r="G5" s="16"/>
      <c r="H5" s="16"/>
      <c r="I5" t="s">
        <v>82</v>
      </c>
    </row>
    <row r="7" spans="3:11" x14ac:dyDescent="0.35">
      <c r="E7" s="2"/>
      <c r="F7" t="s">
        <v>128</v>
      </c>
      <c r="H7" s="2"/>
      <c r="I7" s="2">
        <v>2142000</v>
      </c>
    </row>
    <row r="8" spans="3:11" x14ac:dyDescent="0.35">
      <c r="E8" s="2"/>
      <c r="F8" t="s">
        <v>129</v>
      </c>
      <c r="H8" s="2"/>
      <c r="I8" s="2">
        <v>3062800</v>
      </c>
    </row>
    <row r="9" spans="3:11" x14ac:dyDescent="0.35">
      <c r="E9" s="2"/>
      <c r="F9" t="s">
        <v>117</v>
      </c>
      <c r="H9" s="2"/>
      <c r="I9" s="2">
        <v>1874000</v>
      </c>
    </row>
    <row r="10" spans="3:11" x14ac:dyDescent="0.35">
      <c r="E10" s="3"/>
      <c r="F10" t="s">
        <v>118</v>
      </c>
      <c r="H10" s="2"/>
      <c r="I10" s="2">
        <v>978340</v>
      </c>
    </row>
    <row r="11" spans="3:11" x14ac:dyDescent="0.35">
      <c r="E11" s="2"/>
      <c r="F11" t="s">
        <v>119</v>
      </c>
      <c r="H11" s="2"/>
      <c r="I11" s="2">
        <v>1062480</v>
      </c>
    </row>
    <row r="12" spans="3:11" x14ac:dyDescent="0.35">
      <c r="E12" s="2"/>
      <c r="F12" t="s">
        <v>130</v>
      </c>
      <c r="H12" s="2"/>
      <c r="I12" s="2">
        <v>1114270</v>
      </c>
    </row>
    <row r="13" spans="3:11" x14ac:dyDescent="0.35">
      <c r="E13" s="2"/>
      <c r="F13" t="s">
        <v>131</v>
      </c>
      <c r="H13" s="2"/>
      <c r="I13" s="2">
        <v>2145200</v>
      </c>
    </row>
    <row r="14" spans="3:11" x14ac:dyDescent="0.35">
      <c r="E14" s="2"/>
      <c r="F14" t="s">
        <v>122</v>
      </c>
      <c r="H14" s="2"/>
      <c r="I14" s="2">
        <v>1386200</v>
      </c>
    </row>
    <row r="15" spans="3:11" x14ac:dyDescent="0.35">
      <c r="E15" s="2"/>
      <c r="F15" t="s">
        <v>123</v>
      </c>
      <c r="H15" s="2"/>
      <c r="I15" s="2">
        <v>1174570</v>
      </c>
    </row>
    <row r="16" spans="3:11" x14ac:dyDescent="0.35">
      <c r="E16" s="2"/>
      <c r="F16" t="s">
        <v>124</v>
      </c>
      <c r="H16" s="2"/>
      <c r="I16" s="2">
        <v>1698750</v>
      </c>
    </row>
    <row r="17" spans="5:9" x14ac:dyDescent="0.35">
      <c r="E17" s="2"/>
      <c r="F17" t="s">
        <v>125</v>
      </c>
      <c r="H17" s="7"/>
      <c r="I17" s="2">
        <v>1364780</v>
      </c>
    </row>
    <row r="18" spans="5:9" x14ac:dyDescent="0.35">
      <c r="F18" t="s">
        <v>126</v>
      </c>
      <c r="H18" s="2"/>
      <c r="I18" s="2">
        <v>1624220</v>
      </c>
    </row>
    <row r="19" spans="5:9" x14ac:dyDescent="0.35">
      <c r="F19" t="s">
        <v>127</v>
      </c>
      <c r="H19" s="2"/>
      <c r="I19" s="2">
        <v>1798240</v>
      </c>
    </row>
    <row r="20" spans="5:9" x14ac:dyDescent="0.35">
      <c r="H20" s="3"/>
      <c r="I20" s="3">
        <f>SUM(I7:I19)</f>
        <v>21425850</v>
      </c>
    </row>
  </sheetData>
  <mergeCells count="6">
    <mergeCell ref="C1:K1"/>
    <mergeCell ref="C2:K2"/>
    <mergeCell ref="C3:K3"/>
    <mergeCell ref="F4:G4"/>
    <mergeCell ref="C5:E5"/>
    <mergeCell ref="F5:H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31015-F9AC-43A9-B0C1-77E4CE6DA090}">
  <dimension ref="B1:K22"/>
  <sheetViews>
    <sheetView topLeftCell="B1" workbookViewId="0">
      <selection activeCell="E5" sqref="E5:G5"/>
    </sheetView>
  </sheetViews>
  <sheetFormatPr defaultRowHeight="14.5" x14ac:dyDescent="0.35"/>
  <cols>
    <col min="8" max="8" width="15.1796875" customWidth="1"/>
  </cols>
  <sheetData>
    <row r="1" spans="2:10" ht="17.5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</row>
    <row r="2" spans="2:10" ht="17.5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ht="15.5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5">
      <c r="E4" s="19" t="s">
        <v>166</v>
      </c>
      <c r="F4" s="15"/>
    </row>
    <row r="5" spans="2:10" x14ac:dyDescent="0.35">
      <c r="B5" s="16"/>
      <c r="C5" s="16"/>
      <c r="D5" s="16"/>
      <c r="E5" s="16" t="s">
        <v>33</v>
      </c>
      <c r="F5" s="16"/>
      <c r="G5" s="16"/>
      <c r="H5" t="s">
        <v>146</v>
      </c>
    </row>
    <row r="7" spans="2:10" x14ac:dyDescent="0.35">
      <c r="D7" s="2"/>
      <c r="E7" t="s">
        <v>132</v>
      </c>
      <c r="G7" s="2"/>
      <c r="H7" s="11">
        <v>2617900</v>
      </c>
    </row>
    <row r="8" spans="2:10" x14ac:dyDescent="0.35">
      <c r="D8" s="2"/>
      <c r="E8" t="s">
        <v>133</v>
      </c>
      <c r="G8" s="2"/>
      <c r="H8" s="11">
        <v>3346220</v>
      </c>
    </row>
    <row r="9" spans="2:10" x14ac:dyDescent="0.35">
      <c r="D9" s="2"/>
      <c r="E9" t="s">
        <v>95</v>
      </c>
      <c r="G9" s="2"/>
      <c r="H9" s="11">
        <v>3048560</v>
      </c>
    </row>
    <row r="10" spans="2:10" x14ac:dyDescent="0.35">
      <c r="D10" s="3"/>
      <c r="E10" s="1" t="s">
        <v>134</v>
      </c>
      <c r="F10" s="1"/>
      <c r="G10" s="3"/>
      <c r="H10" s="12">
        <v>2984200</v>
      </c>
    </row>
    <row r="11" spans="2:10" x14ac:dyDescent="0.35">
      <c r="D11" s="2"/>
      <c r="E11" t="s">
        <v>135</v>
      </c>
      <c r="G11" s="2"/>
      <c r="H11" s="11">
        <v>3149760</v>
      </c>
    </row>
    <row r="12" spans="2:10" x14ac:dyDescent="0.35">
      <c r="D12" s="2"/>
      <c r="E12" t="s">
        <v>136</v>
      </c>
      <c r="G12" s="2"/>
      <c r="H12" s="11">
        <v>3986100</v>
      </c>
    </row>
    <row r="13" spans="2:10" x14ac:dyDescent="0.35">
      <c r="D13" s="2"/>
      <c r="E13" t="s">
        <v>137</v>
      </c>
      <c r="G13" s="2"/>
      <c r="H13" s="11">
        <v>1349600</v>
      </c>
    </row>
    <row r="14" spans="2:10" x14ac:dyDescent="0.35">
      <c r="D14" s="2"/>
      <c r="E14" t="s">
        <v>138</v>
      </c>
      <c r="G14" s="2"/>
      <c r="H14" s="11">
        <v>2498220</v>
      </c>
    </row>
    <row r="15" spans="2:10" x14ac:dyDescent="0.35">
      <c r="D15" s="2"/>
      <c r="E15" t="s">
        <v>139</v>
      </c>
      <c r="G15" s="2"/>
      <c r="H15" s="11">
        <v>669100</v>
      </c>
    </row>
    <row r="16" spans="2:10" x14ac:dyDescent="0.35">
      <c r="D16" s="2"/>
      <c r="E16" t="s">
        <v>140</v>
      </c>
      <c r="G16" s="2"/>
      <c r="H16" s="11">
        <v>1399240</v>
      </c>
    </row>
    <row r="17" spans="4:11" x14ac:dyDescent="0.35">
      <c r="D17" s="2"/>
      <c r="E17" t="s">
        <v>141</v>
      </c>
      <c r="G17" s="7"/>
      <c r="H17" s="11">
        <v>2358200</v>
      </c>
    </row>
    <row r="18" spans="4:11" x14ac:dyDescent="0.35">
      <c r="E18" t="s">
        <v>142</v>
      </c>
      <c r="G18" s="2"/>
      <c r="H18" s="11">
        <v>1234120</v>
      </c>
    </row>
    <row r="19" spans="4:11" x14ac:dyDescent="0.35">
      <c r="E19" t="s">
        <v>143</v>
      </c>
      <c r="G19" s="2"/>
      <c r="H19" s="11">
        <v>1698220</v>
      </c>
    </row>
    <row r="20" spans="4:11" x14ac:dyDescent="0.35">
      <c r="E20" t="s">
        <v>144</v>
      </c>
      <c r="G20" s="3"/>
      <c r="H20" s="11">
        <v>1892440</v>
      </c>
    </row>
    <row r="21" spans="4:11" x14ac:dyDescent="0.35">
      <c r="E21" t="s">
        <v>145</v>
      </c>
      <c r="H21" s="11">
        <v>1398220</v>
      </c>
    </row>
    <row r="22" spans="4:11" x14ac:dyDescent="0.35">
      <c r="H22" s="12">
        <f>SUM(H7:H21)</f>
        <v>33630100</v>
      </c>
      <c r="K22">
        <v>33630100</v>
      </c>
    </row>
  </sheetData>
  <mergeCells count="6">
    <mergeCell ref="B1:J1"/>
    <mergeCell ref="B2:J2"/>
    <mergeCell ref="B3:J3"/>
    <mergeCell ref="E4:F4"/>
    <mergeCell ref="B5:D5"/>
    <mergeCell ref="E5:G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1337C-9A30-462D-B05D-BF9EC6DDD6CC}">
  <dimension ref="C1:K20"/>
  <sheetViews>
    <sheetView workbookViewId="0">
      <selection activeCell="F4" sqref="F4:G4"/>
    </sheetView>
  </sheetViews>
  <sheetFormatPr defaultRowHeight="14.5" x14ac:dyDescent="0.35"/>
  <cols>
    <col min="9" max="9" width="11.6328125" customWidth="1"/>
  </cols>
  <sheetData>
    <row r="1" spans="3:11" ht="17.5" x14ac:dyDescent="0.35">
      <c r="C1" s="13" t="s">
        <v>0</v>
      </c>
      <c r="D1" s="13"/>
      <c r="E1" s="13"/>
      <c r="F1" s="13"/>
      <c r="G1" s="13"/>
      <c r="H1" s="13"/>
      <c r="I1" s="13"/>
      <c r="J1" s="13"/>
      <c r="K1" s="13"/>
    </row>
    <row r="2" spans="3:11" ht="17.5" x14ac:dyDescent="0.35">
      <c r="C2" s="13" t="s">
        <v>1</v>
      </c>
      <c r="D2" s="13"/>
      <c r="E2" s="13"/>
      <c r="F2" s="13"/>
      <c r="G2" s="13"/>
      <c r="H2" s="13"/>
      <c r="I2" s="13"/>
      <c r="J2" s="13"/>
      <c r="K2" s="13"/>
    </row>
    <row r="3" spans="3:11" ht="15.5" x14ac:dyDescent="0.35">
      <c r="C3" s="14"/>
      <c r="D3" s="14"/>
      <c r="E3" s="14"/>
      <c r="F3" s="14"/>
      <c r="G3" s="14"/>
      <c r="H3" s="14"/>
      <c r="I3" s="14"/>
      <c r="J3" s="14"/>
      <c r="K3" s="14"/>
    </row>
    <row r="4" spans="3:11" x14ac:dyDescent="0.35">
      <c r="F4" s="15" t="s">
        <v>165</v>
      </c>
      <c r="G4" s="15"/>
    </row>
    <row r="5" spans="3:11" x14ac:dyDescent="0.35">
      <c r="C5" s="16"/>
      <c r="D5" s="16"/>
      <c r="E5" s="16"/>
      <c r="F5" s="16" t="s">
        <v>33</v>
      </c>
      <c r="G5" s="16"/>
      <c r="H5" s="16"/>
    </row>
    <row r="7" spans="3:11" x14ac:dyDescent="0.35">
      <c r="E7" s="2"/>
      <c r="F7" t="s">
        <v>147</v>
      </c>
      <c r="H7" s="2"/>
      <c r="I7" s="2">
        <v>2146900</v>
      </c>
    </row>
    <row r="8" spans="3:11" x14ac:dyDescent="0.35">
      <c r="E8" s="2"/>
      <c r="F8" t="s">
        <v>148</v>
      </c>
      <c r="H8" s="2"/>
      <c r="I8" s="2">
        <v>4982400</v>
      </c>
      <c r="J8" t="s">
        <v>3</v>
      </c>
    </row>
    <row r="9" spans="3:11" x14ac:dyDescent="0.35">
      <c r="E9" s="2"/>
      <c r="F9" t="s">
        <v>149</v>
      </c>
      <c r="H9" s="2"/>
      <c r="I9" s="2">
        <v>1982000</v>
      </c>
    </row>
    <row r="10" spans="3:11" x14ac:dyDescent="0.35">
      <c r="E10" s="3"/>
      <c r="F10" s="1" t="s">
        <v>150</v>
      </c>
      <c r="G10" s="1"/>
      <c r="H10" s="3"/>
      <c r="I10" s="3">
        <v>2498200</v>
      </c>
    </row>
    <row r="11" spans="3:11" x14ac:dyDescent="0.35">
      <c r="E11" s="2"/>
      <c r="F11" t="s">
        <v>151</v>
      </c>
      <c r="H11" s="2"/>
      <c r="I11" s="2">
        <v>3864000</v>
      </c>
    </row>
    <row r="12" spans="3:11" x14ac:dyDescent="0.35">
      <c r="E12" s="2"/>
      <c r="F12" t="s">
        <v>152</v>
      </c>
      <c r="H12" s="2"/>
      <c r="I12" s="2">
        <v>2302400</v>
      </c>
    </row>
    <row r="13" spans="3:11" x14ac:dyDescent="0.35">
      <c r="E13" s="2"/>
      <c r="F13" t="s">
        <v>153</v>
      </c>
      <c r="H13" s="2"/>
      <c r="I13" s="2">
        <v>1908920</v>
      </c>
    </row>
    <row r="14" spans="3:11" x14ac:dyDescent="0.35">
      <c r="E14" s="2"/>
      <c r="F14" t="s">
        <v>154</v>
      </c>
      <c r="H14" s="2"/>
      <c r="I14" s="2">
        <v>4339120</v>
      </c>
    </row>
    <row r="15" spans="3:11" x14ac:dyDescent="0.35">
      <c r="E15" s="2"/>
      <c r="F15" t="s">
        <v>155</v>
      </c>
      <c r="H15" s="2"/>
      <c r="I15" s="2">
        <v>3341600</v>
      </c>
    </row>
    <row r="16" spans="3:11" x14ac:dyDescent="0.35">
      <c r="E16" s="2"/>
      <c r="F16" t="s">
        <v>156</v>
      </c>
      <c r="H16" s="2"/>
      <c r="I16" s="2">
        <v>2278090</v>
      </c>
    </row>
    <row r="17" spans="5:9" x14ac:dyDescent="0.35">
      <c r="E17" s="2"/>
      <c r="F17" t="s">
        <v>157</v>
      </c>
      <c r="H17" s="7"/>
      <c r="I17" s="2">
        <v>3148620</v>
      </c>
    </row>
    <row r="18" spans="5:9" x14ac:dyDescent="0.35">
      <c r="F18" t="s">
        <v>158</v>
      </c>
      <c r="H18" s="2"/>
      <c r="I18" s="2">
        <v>2082450</v>
      </c>
    </row>
    <row r="19" spans="5:9" x14ac:dyDescent="0.35">
      <c r="H19" s="2"/>
      <c r="I19" s="3">
        <f>SUM(I7:I18)</f>
        <v>34874700</v>
      </c>
    </row>
    <row r="20" spans="5:9" x14ac:dyDescent="0.35">
      <c r="H20" s="3"/>
    </row>
  </sheetData>
  <mergeCells count="6">
    <mergeCell ref="C1:K1"/>
    <mergeCell ref="C2:K2"/>
    <mergeCell ref="C3:K3"/>
    <mergeCell ref="F4:G4"/>
    <mergeCell ref="C5:E5"/>
    <mergeCell ref="F5:H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7E046-D485-4E07-94D6-CE935ABEBC5A}">
  <dimension ref="C1:K20"/>
  <sheetViews>
    <sheetView workbookViewId="0">
      <selection activeCell="F4" sqref="F4:G4"/>
    </sheetView>
  </sheetViews>
  <sheetFormatPr defaultRowHeight="14.5" x14ac:dyDescent="0.35"/>
  <cols>
    <col min="9" max="9" width="12.81640625" customWidth="1"/>
  </cols>
  <sheetData>
    <row r="1" spans="3:11" ht="17.5" x14ac:dyDescent="0.35">
      <c r="C1" s="13" t="s">
        <v>0</v>
      </c>
      <c r="D1" s="13"/>
      <c r="E1" s="13"/>
      <c r="F1" s="13"/>
      <c r="G1" s="13"/>
      <c r="H1" s="13"/>
      <c r="I1" s="13"/>
      <c r="J1" s="13"/>
      <c r="K1" s="13"/>
    </row>
    <row r="2" spans="3:11" ht="17.5" x14ac:dyDescent="0.35">
      <c r="C2" s="13" t="s">
        <v>1</v>
      </c>
      <c r="D2" s="13"/>
      <c r="E2" s="13"/>
      <c r="F2" s="13"/>
      <c r="G2" s="13"/>
      <c r="H2" s="13"/>
      <c r="I2" s="13"/>
      <c r="J2" s="13"/>
      <c r="K2" s="13"/>
    </row>
    <row r="3" spans="3:11" ht="15.5" x14ac:dyDescent="0.35">
      <c r="C3" s="14"/>
      <c r="D3" s="14"/>
      <c r="E3" s="14"/>
      <c r="F3" s="14"/>
      <c r="G3" s="14"/>
      <c r="H3" s="14"/>
      <c r="I3" s="14"/>
      <c r="J3" s="14"/>
      <c r="K3" s="14"/>
    </row>
    <row r="4" spans="3:11" x14ac:dyDescent="0.35">
      <c r="F4" s="15" t="s">
        <v>164</v>
      </c>
      <c r="G4" s="15"/>
    </row>
    <row r="5" spans="3:11" x14ac:dyDescent="0.35">
      <c r="C5" s="16"/>
      <c r="D5" s="16"/>
      <c r="E5" s="16"/>
      <c r="F5" s="16" t="s">
        <v>33</v>
      </c>
      <c r="G5" s="16"/>
      <c r="H5" s="16"/>
    </row>
    <row r="7" spans="3:11" x14ac:dyDescent="0.35">
      <c r="E7" s="2"/>
      <c r="F7" t="s">
        <v>115</v>
      </c>
      <c r="H7" s="2"/>
      <c r="I7" s="2">
        <v>998200</v>
      </c>
    </row>
    <row r="8" spans="3:11" x14ac:dyDescent="0.35">
      <c r="E8" s="2"/>
      <c r="F8" t="s">
        <v>116</v>
      </c>
      <c r="H8" s="2"/>
      <c r="I8" s="2">
        <v>760540</v>
      </c>
    </row>
    <row r="9" spans="3:11" x14ac:dyDescent="0.35">
      <c r="E9" s="2"/>
      <c r="F9" t="s">
        <v>117</v>
      </c>
      <c r="H9" s="2"/>
      <c r="I9" s="2">
        <v>382400</v>
      </c>
    </row>
    <row r="10" spans="3:11" x14ac:dyDescent="0.35">
      <c r="E10" s="3"/>
      <c r="F10" s="1" t="s">
        <v>118</v>
      </c>
      <c r="G10" s="1"/>
      <c r="H10" s="3"/>
      <c r="I10" s="3">
        <v>484600</v>
      </c>
    </row>
    <row r="11" spans="3:11" x14ac:dyDescent="0.35">
      <c r="E11" s="2"/>
      <c r="F11" t="s">
        <v>119</v>
      </c>
      <c r="H11" s="2"/>
      <c r="I11" s="2">
        <v>698200</v>
      </c>
    </row>
    <row r="12" spans="3:11" x14ac:dyDescent="0.35">
      <c r="E12" s="2"/>
      <c r="F12" t="s">
        <v>120</v>
      </c>
      <c r="H12" s="2"/>
      <c r="I12" s="2">
        <v>684300</v>
      </c>
    </row>
    <row r="13" spans="3:11" x14ac:dyDescent="0.35">
      <c r="E13" s="2"/>
      <c r="F13" t="s">
        <v>121</v>
      </c>
      <c r="H13" s="2"/>
      <c r="I13" s="2">
        <v>846600</v>
      </c>
    </row>
    <row r="14" spans="3:11" x14ac:dyDescent="0.35">
      <c r="E14" s="2"/>
      <c r="F14" t="s">
        <v>122</v>
      </c>
      <c r="H14" s="2"/>
      <c r="I14" s="2">
        <v>654800</v>
      </c>
    </row>
    <row r="15" spans="3:11" x14ac:dyDescent="0.35">
      <c r="E15" s="2"/>
      <c r="F15" t="s">
        <v>123</v>
      </c>
      <c r="H15" s="2"/>
      <c r="I15" s="2">
        <v>784320</v>
      </c>
    </row>
    <row r="16" spans="3:11" x14ac:dyDescent="0.35">
      <c r="E16" s="2"/>
      <c r="F16" t="s">
        <v>124</v>
      </c>
      <c r="H16" s="2"/>
      <c r="I16" s="2">
        <v>778940</v>
      </c>
    </row>
    <row r="17" spans="5:9" x14ac:dyDescent="0.35">
      <c r="E17" s="2"/>
      <c r="F17" t="s">
        <v>125</v>
      </c>
      <c r="H17" s="7"/>
      <c r="I17" s="2">
        <v>541200</v>
      </c>
    </row>
    <row r="18" spans="5:9" x14ac:dyDescent="0.35">
      <c r="F18" t="s">
        <v>126</v>
      </c>
      <c r="H18" s="2"/>
      <c r="I18" s="2">
        <v>1164200</v>
      </c>
    </row>
    <row r="19" spans="5:9" x14ac:dyDescent="0.35">
      <c r="F19" t="s">
        <v>127</v>
      </c>
      <c r="H19" s="2"/>
      <c r="I19" s="2">
        <v>1468200</v>
      </c>
    </row>
    <row r="20" spans="5:9" x14ac:dyDescent="0.35">
      <c r="H20" s="3"/>
      <c r="I20" s="3">
        <f>SUM(I7:I19)</f>
        <v>10246500</v>
      </c>
    </row>
  </sheetData>
  <mergeCells count="6">
    <mergeCell ref="C1:K1"/>
    <mergeCell ref="C2:K2"/>
    <mergeCell ref="C3:K3"/>
    <mergeCell ref="F4:G4"/>
    <mergeCell ref="C5:E5"/>
    <mergeCell ref="F5:H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75F19-4AFE-41E3-BA22-2292D9E86BC7}">
  <dimension ref="C1:K20"/>
  <sheetViews>
    <sheetView workbookViewId="0">
      <selection activeCell="F4" sqref="F4:G4"/>
    </sheetView>
  </sheetViews>
  <sheetFormatPr defaultRowHeight="14.5" x14ac:dyDescent="0.35"/>
  <cols>
    <col min="9" max="9" width="12.81640625" customWidth="1"/>
  </cols>
  <sheetData>
    <row r="1" spans="3:11" ht="17.5" x14ac:dyDescent="0.35">
      <c r="C1" s="13" t="s">
        <v>0</v>
      </c>
      <c r="D1" s="13"/>
      <c r="E1" s="13"/>
      <c r="F1" s="13"/>
      <c r="G1" s="13"/>
      <c r="H1" s="13"/>
      <c r="I1" s="13"/>
      <c r="J1" s="13"/>
      <c r="K1" s="13"/>
    </row>
    <row r="2" spans="3:11" ht="17.5" x14ac:dyDescent="0.35">
      <c r="C2" s="13" t="s">
        <v>1</v>
      </c>
      <c r="D2" s="13"/>
      <c r="E2" s="13"/>
      <c r="F2" s="13"/>
      <c r="G2" s="13"/>
      <c r="H2" s="13"/>
      <c r="I2" s="13"/>
      <c r="J2" s="13"/>
      <c r="K2" s="13"/>
    </row>
    <row r="3" spans="3:11" ht="15.5" x14ac:dyDescent="0.35">
      <c r="C3" s="14"/>
      <c r="D3" s="14"/>
      <c r="E3" s="14"/>
      <c r="F3" s="14"/>
      <c r="G3" s="14"/>
      <c r="H3" s="14"/>
      <c r="I3" s="14"/>
      <c r="J3" s="14"/>
      <c r="K3" s="14"/>
    </row>
    <row r="4" spans="3:11" x14ac:dyDescent="0.35">
      <c r="F4" s="15" t="s">
        <v>163</v>
      </c>
      <c r="G4" s="15"/>
    </row>
    <row r="5" spans="3:11" x14ac:dyDescent="0.35">
      <c r="C5" s="16"/>
      <c r="D5" s="16"/>
      <c r="E5" s="16"/>
      <c r="F5" s="16" t="s">
        <v>33</v>
      </c>
      <c r="G5" s="16"/>
      <c r="H5" s="16"/>
    </row>
    <row r="7" spans="3:11" x14ac:dyDescent="0.35">
      <c r="E7" s="2"/>
      <c r="F7" t="s">
        <v>115</v>
      </c>
      <c r="H7" s="2"/>
      <c r="I7" s="2">
        <v>698700</v>
      </c>
    </row>
    <row r="8" spans="3:11" x14ac:dyDescent="0.35">
      <c r="E8" s="2"/>
      <c r="F8" t="s">
        <v>116</v>
      </c>
      <c r="H8" s="2"/>
      <c r="I8" s="2">
        <v>1164800</v>
      </c>
    </row>
    <row r="9" spans="3:11" x14ac:dyDescent="0.35">
      <c r="E9" s="2"/>
      <c r="F9" t="s">
        <v>117</v>
      </c>
      <c r="H9" s="2"/>
      <c r="I9">
        <v>798240</v>
      </c>
    </row>
    <row r="10" spans="3:11" x14ac:dyDescent="0.35">
      <c r="E10" s="3"/>
      <c r="F10" s="1" t="s">
        <v>118</v>
      </c>
      <c r="G10" s="1"/>
      <c r="H10" s="3"/>
      <c r="I10" s="3">
        <v>1024000</v>
      </c>
    </row>
    <row r="11" spans="3:11" x14ac:dyDescent="0.35">
      <c r="E11" s="2"/>
      <c r="F11" t="s">
        <v>119</v>
      </c>
      <c r="H11" s="2"/>
      <c r="I11">
        <v>1982000</v>
      </c>
    </row>
    <row r="12" spans="3:11" x14ac:dyDescent="0.35">
      <c r="E12" s="2"/>
      <c r="F12" t="s">
        <v>120</v>
      </c>
      <c r="H12" s="2"/>
      <c r="I12">
        <v>498700</v>
      </c>
    </row>
    <row r="13" spans="3:11" x14ac:dyDescent="0.35">
      <c r="E13" s="2"/>
      <c r="F13" t="s">
        <v>121</v>
      </c>
      <c r="H13" s="2"/>
      <c r="I13">
        <v>515430</v>
      </c>
    </row>
    <row r="14" spans="3:11" x14ac:dyDescent="0.35">
      <c r="E14" s="2"/>
      <c r="F14" t="s">
        <v>122</v>
      </c>
      <c r="H14" s="2"/>
      <c r="I14">
        <v>1198460</v>
      </c>
    </row>
    <row r="15" spans="3:11" x14ac:dyDescent="0.35">
      <c r="E15" s="2"/>
      <c r="F15" t="s">
        <v>123</v>
      </c>
      <c r="H15" s="2"/>
      <c r="I15">
        <v>1598200</v>
      </c>
    </row>
    <row r="16" spans="3:11" x14ac:dyDescent="0.35">
      <c r="E16" s="2"/>
      <c r="F16" t="s">
        <v>124</v>
      </c>
      <c r="H16" s="2"/>
      <c r="I16">
        <v>776440</v>
      </c>
    </row>
    <row r="17" spans="5:9" x14ac:dyDescent="0.35">
      <c r="E17" s="2"/>
      <c r="F17" t="s">
        <v>125</v>
      </c>
      <c r="H17" s="7"/>
      <c r="I17">
        <v>2148900</v>
      </c>
    </row>
    <row r="18" spans="5:9" x14ac:dyDescent="0.35">
      <c r="F18" t="s">
        <v>126</v>
      </c>
      <c r="H18" s="2"/>
      <c r="I18">
        <v>1198460</v>
      </c>
    </row>
    <row r="19" spans="5:9" x14ac:dyDescent="0.35">
      <c r="F19" t="s">
        <v>127</v>
      </c>
      <c r="H19" s="2"/>
      <c r="I19">
        <v>987420</v>
      </c>
    </row>
    <row r="20" spans="5:9" x14ac:dyDescent="0.35">
      <c r="H20" s="3"/>
      <c r="I20" s="7">
        <f>SUM(I7:I19)</f>
        <v>14589750</v>
      </c>
    </row>
  </sheetData>
  <mergeCells count="6">
    <mergeCell ref="C1:K1"/>
    <mergeCell ref="C2:K2"/>
    <mergeCell ref="C3:K3"/>
    <mergeCell ref="F4:G4"/>
    <mergeCell ref="C5:E5"/>
    <mergeCell ref="F5:H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B5B84-4B30-4625-8299-2E08B7257216}">
  <dimension ref="B1:J20"/>
  <sheetViews>
    <sheetView workbookViewId="0">
      <selection activeCell="E4" sqref="E4:F4"/>
    </sheetView>
  </sheetViews>
  <sheetFormatPr defaultRowHeight="14.5" x14ac:dyDescent="0.35"/>
  <sheetData>
    <row r="1" spans="2:10" ht="17.5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</row>
    <row r="2" spans="2:10" ht="17.5" x14ac:dyDescent="0.35">
      <c r="B2" s="13" t="s">
        <v>1</v>
      </c>
      <c r="C2" s="13"/>
      <c r="D2" s="13"/>
      <c r="E2" s="13"/>
      <c r="F2" s="13"/>
      <c r="G2" s="13"/>
      <c r="H2" s="13"/>
      <c r="I2" s="13"/>
      <c r="J2" s="13"/>
    </row>
    <row r="3" spans="2:10" ht="15.5" x14ac:dyDescent="0.35">
      <c r="B3" s="14"/>
      <c r="C3" s="14"/>
      <c r="D3" s="14"/>
      <c r="E3" s="14"/>
      <c r="F3" s="14"/>
      <c r="G3" s="14"/>
      <c r="H3" s="14"/>
      <c r="I3" s="14"/>
      <c r="J3" s="14"/>
    </row>
    <row r="4" spans="2:10" x14ac:dyDescent="0.35">
      <c r="E4" s="15" t="s">
        <v>162</v>
      </c>
      <c r="F4" s="15"/>
    </row>
    <row r="5" spans="2:10" x14ac:dyDescent="0.35">
      <c r="B5" s="16"/>
      <c r="C5" s="16"/>
      <c r="D5" s="16"/>
      <c r="E5" s="16" t="s">
        <v>33</v>
      </c>
      <c r="F5" s="16"/>
      <c r="G5" s="16"/>
    </row>
    <row r="7" spans="2:10" x14ac:dyDescent="0.35">
      <c r="D7" s="2"/>
      <c r="E7" t="s">
        <v>160</v>
      </c>
      <c r="G7" s="2"/>
      <c r="H7" s="2"/>
      <c r="I7">
        <v>1984600</v>
      </c>
    </row>
    <row r="8" spans="2:10" x14ac:dyDescent="0.35">
      <c r="D8" s="2"/>
      <c r="E8" t="s">
        <v>116</v>
      </c>
      <c r="G8" s="2"/>
      <c r="H8" s="2"/>
      <c r="I8">
        <v>1049200</v>
      </c>
    </row>
    <row r="9" spans="2:10" x14ac:dyDescent="0.35">
      <c r="D9" s="2"/>
      <c r="E9" t="s">
        <v>161</v>
      </c>
      <c r="G9" s="2"/>
      <c r="I9">
        <v>3148900</v>
      </c>
    </row>
    <row r="10" spans="2:10" x14ac:dyDescent="0.35">
      <c r="D10" s="3"/>
      <c r="E10" s="1" t="s">
        <v>118</v>
      </c>
      <c r="F10" s="1"/>
      <c r="G10" s="3"/>
      <c r="H10" s="3"/>
      <c r="I10">
        <v>4187050</v>
      </c>
    </row>
    <row r="11" spans="2:10" x14ac:dyDescent="0.35">
      <c r="D11" s="2"/>
      <c r="E11" t="s">
        <v>119</v>
      </c>
      <c r="G11" s="2"/>
      <c r="I11">
        <v>3187420</v>
      </c>
    </row>
    <row r="12" spans="2:10" x14ac:dyDescent="0.35">
      <c r="D12" s="2"/>
      <c r="E12" t="s">
        <v>120</v>
      </c>
      <c r="G12" s="2"/>
      <c r="I12">
        <v>1698200</v>
      </c>
    </row>
    <row r="13" spans="2:10" x14ac:dyDescent="0.35">
      <c r="D13" s="2"/>
      <c r="E13" t="s">
        <v>159</v>
      </c>
      <c r="G13" s="2"/>
      <c r="I13">
        <v>1842000</v>
      </c>
    </row>
    <row r="14" spans="2:10" x14ac:dyDescent="0.35">
      <c r="D14" s="2"/>
      <c r="E14" t="s">
        <v>122</v>
      </c>
      <c r="G14" s="2"/>
      <c r="I14">
        <v>1733148</v>
      </c>
    </row>
    <row r="15" spans="2:10" x14ac:dyDescent="0.35">
      <c r="D15" s="2"/>
      <c r="E15" t="s">
        <v>123</v>
      </c>
      <c r="G15" s="2"/>
      <c r="I15">
        <v>1158000</v>
      </c>
    </row>
    <row r="16" spans="2:10" x14ac:dyDescent="0.35">
      <c r="D16" s="2"/>
      <c r="E16" t="s">
        <v>124</v>
      </c>
      <c r="G16" s="2"/>
      <c r="I16">
        <v>4108970</v>
      </c>
    </row>
    <row r="17" spans="4:9" x14ac:dyDescent="0.35">
      <c r="D17" s="2"/>
      <c r="E17" t="s">
        <v>125</v>
      </c>
      <c r="G17" s="7"/>
      <c r="I17">
        <v>4246700</v>
      </c>
    </row>
    <row r="18" spans="4:9" x14ac:dyDescent="0.35">
      <c r="E18" t="s">
        <v>126</v>
      </c>
      <c r="G18" s="2"/>
      <c r="I18">
        <v>1984210</v>
      </c>
    </row>
    <row r="19" spans="4:9" x14ac:dyDescent="0.35">
      <c r="E19" t="s">
        <v>127</v>
      </c>
      <c r="G19" s="2"/>
      <c r="I19">
        <v>1498100</v>
      </c>
    </row>
    <row r="20" spans="4:9" x14ac:dyDescent="0.35">
      <c r="G20" s="3"/>
      <c r="I20" s="1">
        <f>SUM(I7:I19)</f>
        <v>31826498</v>
      </c>
    </row>
  </sheetData>
  <mergeCells count="6">
    <mergeCell ref="B1:J1"/>
    <mergeCell ref="B2:J2"/>
    <mergeCell ref="B3:J3"/>
    <mergeCell ref="E4:F4"/>
    <mergeCell ref="B5:D5"/>
    <mergeCell ref="E5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nov-24</vt:lpstr>
      <vt:lpstr>Dec-24</vt:lpstr>
      <vt:lpstr>jan</vt:lpstr>
      <vt:lpstr>Feb</vt:lpstr>
      <vt:lpstr>Mar</vt:lpstr>
      <vt:lpstr>Apr</vt:lpstr>
      <vt:lpstr>may</vt:lpstr>
      <vt:lpstr>June</vt:lpstr>
      <vt:lpstr>July</vt:lpstr>
      <vt:lpstr>AUg</vt:lpstr>
      <vt:lpstr>Sept</vt:lpstr>
      <vt:lpstr>Oct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2026-03-10T09:40:21Z</dcterms:modified>
</cp:coreProperties>
</file>